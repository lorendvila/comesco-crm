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esnobles-my.sharepoint.com/personal/ldionis_aldelis_com/Documents/BAJA PATERNAL/Kids Garden/COMESCO/PROYECTO CRM/"/>
    </mc:Choice>
  </mc:AlternateContent>
  <xr:revisionPtr revIDLastSave="0" documentId="8_{2785DF05-B5BD-4B6F-9BAC-B3C872CAB6E1}" xr6:coauthVersionLast="47" xr6:coauthVersionMax="47" xr10:uidLastSave="{00000000-0000-0000-0000-000000000000}"/>
  <bookViews>
    <workbookView xWindow="-110" yWindow="-110" windowWidth="19420" windowHeight="11500" xr2:uid="{FE0E1A57-0AE2-43D9-B67F-8747903A98F6}"/>
  </bookViews>
  <sheets>
    <sheet name="Hoja2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F16" i="2" s="1"/>
  <c r="E17" i="2"/>
  <c r="F17" i="2" s="1"/>
  <c r="E18" i="2"/>
  <c r="F18" i="2"/>
  <c r="F23" i="2"/>
  <c r="F22" i="2"/>
  <c r="F21" i="2"/>
  <c r="F20" i="2"/>
  <c r="F19" i="2"/>
  <c r="E15" i="2"/>
  <c r="F15" i="2" s="1"/>
  <c r="F14" i="2"/>
  <c r="F13" i="2"/>
  <c r="F12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<sst xmlns="http://schemas.openxmlformats.org/spreadsheetml/2006/main" count="72" uniqueCount="48">
  <si>
    <t>3L</t>
  </si>
  <si>
    <t>500ML</t>
  </si>
  <si>
    <t>PRODUCTOR</t>
  </si>
  <si>
    <t>PRODUCTO</t>
  </si>
  <si>
    <t>FORMATO</t>
  </si>
  <si>
    <t>Uds
/Caja</t>
  </si>
  <si>
    <t>Cajas
/Palet</t>
  </si>
  <si>
    <t>Uds
/Palet</t>
  </si>
  <si>
    <t>OLEOSANDUA</t>
  </si>
  <si>
    <t>ACEITE DE OLIVA VIRGEN EXTRA 5L</t>
  </si>
  <si>
    <t>5L</t>
  </si>
  <si>
    <t>ACEITE DE OLIVA VIRGEN EXTRA 3L</t>
  </si>
  <si>
    <t>ACEITE DE OLIVA VIRGEN EXTRA 500ML</t>
  </si>
  <si>
    <t xml:space="preserve">BELLA SAN MARZANO </t>
  </si>
  <si>
    <t>TOMATE PELADO 2,5KG SAN MARZANO ALTA CALIDAD</t>
  </si>
  <si>
    <t>2,5KG</t>
  </si>
  <si>
    <t>ECOVINAL</t>
  </si>
  <si>
    <t>VINAGRE BALSÁMICO 250ML</t>
  </si>
  <si>
    <t>250ML</t>
  </si>
  <si>
    <t>VINAGRE SIDRA MANZANA ECO 500ML</t>
  </si>
  <si>
    <t>VINAGRE BALSÁMICO 5L</t>
  </si>
  <si>
    <t>MAEST.ACEIT.</t>
  </si>
  <si>
    <t>ACEITUNAS EMBRUJOS 4,2kg</t>
  </si>
  <si>
    <t>4,200 G</t>
  </si>
  <si>
    <t>ACEITUNAS MAESTRO ANDALUZ 4,2kg</t>
  </si>
  <si>
    <t>ACEITUNAS EL COCTEL 4,2kg</t>
  </si>
  <si>
    <t>ACEITUNAS EMBRUJOS 400ML</t>
  </si>
  <si>
    <t>370ML</t>
  </si>
  <si>
    <t>ACEITUNAS MAESTRO ANDALUZ 400ML</t>
  </si>
  <si>
    <t>ACEITUNAS EL COCTEL 400ML</t>
  </si>
  <si>
    <t>VINIGALICIA</t>
  </si>
  <si>
    <t>750ML</t>
  </si>
  <si>
    <t>ARROZ CARNAROLI MONTERINO 1KG</t>
  </si>
  <si>
    <t>1KG</t>
  </si>
  <si>
    <t>ENTREPINARES</t>
  </si>
  <si>
    <t>QUESO BURGER INSTITUCIONAL (84 LONCHAS)</t>
  </si>
  <si>
    <t>1,05KG</t>
  </si>
  <si>
    <t>LA PIRENAICA</t>
  </si>
  <si>
    <t>JAMÓN SERRANO LONCHEADO 80G</t>
  </si>
  <si>
    <t>80G</t>
  </si>
  <si>
    <t>CHORIZO LONCHEADO 80G</t>
  </si>
  <si>
    <t>SALCHICHÓN LONCHEADO 80G</t>
  </si>
  <si>
    <t>TAPAS MIX 150G</t>
  </si>
  <si>
    <t>150G</t>
  </si>
  <si>
    <t>VINO BLANCO RAIGAL 750ML</t>
  </si>
  <si>
    <t>VINO ROSADO RAIGAL 750ML</t>
  </si>
  <si>
    <t>VINO TINTO MADERA RAIGAL 750ML</t>
  </si>
  <si>
    <t>AGROELCINCA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</si>
</sst>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9"/>
      <color rgb="FF000000"/>
      <name val="Arial"/>
      <charset val="1"/>
    </font>
    <font>
      <sz val="9"/>
      <color rgb="FFFF0000"/>
      <name val="Arial"/>
      <family val="2"/>
    </font>
    <font>
      <sz val="9"/>
      <color rgb="FF0000FF"/>
      <name val="Arial"/>
      <charset val="1"/>
    </font>
    <font>
      <b/>
      <sz val="8"/>
      <color rgb="FFFFFFFF"/>
      <name val="Arial"/>
      <charset val="1"/>
    </font>
    <font>
      <b/>
      <sz val="9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A16F-C0CB-45E3-978C-91FA717A900D}">
  <dimension ref="A1:F23"/>
  <sheetViews>
    <sheetView tabSelected="1" workbookViewId="0">
      <selection activeCell="A19" sqref="A19"/>
    </sheetView>
  </sheetViews>
  <sheetFormatPr baseColWidth="10" defaultRowHeight="14.5" x14ac:dyDescent="0.35"/>
  <cols>
    <col min="1" max="1" width="18.54296875" bestFit="1" customWidth="1"/>
    <col min="2" max="2" width="44.26953125" bestFit="1" customWidth="1"/>
    <col min="3" max="3" width="8.08984375" bestFit="1" customWidth="1"/>
    <col min="4" max="4" width="4.26953125" bestFit="1" customWidth="1"/>
    <col min="5" max="5" width="4.7265625" bestFit="1" customWidth="1"/>
    <col min="6" max="6" width="4.6328125" bestFit="1" customWidth="1"/>
  </cols>
  <sheetData>
    <row r="1" spans="1:6" ht="2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35">
      <c r="A2" s="3" t="s">
        <v>8</v>
      </c>
      <c r="B2" s="3" t="s">
        <v>9</v>
      </c>
      <c r="C2" s="4" t="s">
        <v>10</v>
      </c>
      <c r="D2" s="5">
        <v>3</v>
      </c>
      <c r="E2" s="5">
        <v>60</v>
      </c>
      <c r="F2" s="6">
        <f t="shared" ref="F2:F18" si="0">D2*E2</f>
        <v>180</v>
      </c>
    </row>
    <row r="3" spans="1:6" x14ac:dyDescent="0.35">
      <c r="A3" s="3" t="s">
        <v>8</v>
      </c>
      <c r="B3" s="3" t="s">
        <v>11</v>
      </c>
      <c r="C3" s="4" t="s">
        <v>0</v>
      </c>
      <c r="D3" s="5">
        <v>6</v>
      </c>
      <c r="E3" s="5">
        <v>52</v>
      </c>
      <c r="F3" s="6">
        <f t="shared" si="0"/>
        <v>312</v>
      </c>
    </row>
    <row r="4" spans="1:6" x14ac:dyDescent="0.35">
      <c r="A4" s="1" t="s">
        <v>8</v>
      </c>
      <c r="B4" s="1" t="s">
        <v>12</v>
      </c>
      <c r="C4" s="7" t="s">
        <v>1</v>
      </c>
      <c r="D4" s="5">
        <v>12</v>
      </c>
      <c r="E4" s="5">
        <v>144</v>
      </c>
      <c r="F4" s="6">
        <f t="shared" si="0"/>
        <v>1728</v>
      </c>
    </row>
    <row r="5" spans="1:6" x14ac:dyDescent="0.35">
      <c r="A5" s="3" t="s">
        <v>13</v>
      </c>
      <c r="B5" s="3" t="s">
        <v>14</v>
      </c>
      <c r="C5" s="4" t="s">
        <v>15</v>
      </c>
      <c r="D5" s="5">
        <v>6</v>
      </c>
      <c r="E5" s="5">
        <v>50</v>
      </c>
      <c r="F5" s="6">
        <f t="shared" si="0"/>
        <v>300</v>
      </c>
    </row>
    <row r="6" spans="1:6" x14ac:dyDescent="0.35">
      <c r="A6" s="3" t="s">
        <v>16</v>
      </c>
      <c r="B6" s="3" t="s">
        <v>17</v>
      </c>
      <c r="C6" s="4" t="s">
        <v>18</v>
      </c>
      <c r="D6" s="5">
        <v>6</v>
      </c>
      <c r="E6" s="5">
        <v>560</v>
      </c>
      <c r="F6" s="6">
        <f t="shared" si="0"/>
        <v>3360</v>
      </c>
    </row>
    <row r="7" spans="1:6" x14ac:dyDescent="0.35">
      <c r="A7" s="1" t="s">
        <v>16</v>
      </c>
      <c r="B7" s="1" t="s">
        <v>19</v>
      </c>
      <c r="C7" s="7" t="s">
        <v>1</v>
      </c>
      <c r="D7" s="5">
        <v>12</v>
      </c>
      <c r="E7" s="5">
        <v>105</v>
      </c>
      <c r="F7" s="6">
        <f t="shared" si="0"/>
        <v>1260</v>
      </c>
    </row>
    <row r="8" spans="1:6" x14ac:dyDescent="0.35">
      <c r="A8" s="1" t="s">
        <v>16</v>
      </c>
      <c r="B8" s="3" t="s">
        <v>20</v>
      </c>
      <c r="C8" s="7" t="s">
        <v>10</v>
      </c>
      <c r="D8" s="5">
        <v>2</v>
      </c>
      <c r="E8" s="5">
        <v>84</v>
      </c>
      <c r="F8" s="6">
        <f t="shared" si="0"/>
        <v>168</v>
      </c>
    </row>
    <row r="9" spans="1:6" x14ac:dyDescent="0.35">
      <c r="A9" s="8" t="s">
        <v>21</v>
      </c>
      <c r="B9" s="8" t="s">
        <v>22</v>
      </c>
      <c r="C9" s="9" t="s">
        <v>23</v>
      </c>
      <c r="D9" s="5">
        <v>3</v>
      </c>
      <c r="E9" s="5">
        <v>55</v>
      </c>
      <c r="F9" s="6">
        <v>165</v>
      </c>
    </row>
    <row r="10" spans="1:6" x14ac:dyDescent="0.35">
      <c r="A10" s="10" t="s">
        <v>21</v>
      </c>
      <c r="B10" s="10" t="s">
        <v>24</v>
      </c>
      <c r="C10" s="11" t="s">
        <v>23</v>
      </c>
      <c r="D10" s="5">
        <v>3</v>
      </c>
      <c r="E10" s="5">
        <v>55</v>
      </c>
      <c r="F10" s="6">
        <v>165</v>
      </c>
    </row>
    <row r="11" spans="1:6" x14ac:dyDescent="0.35">
      <c r="A11" s="8" t="s">
        <v>21</v>
      </c>
      <c r="B11" s="8" t="s">
        <v>25</v>
      </c>
      <c r="C11" s="9" t="s">
        <v>23</v>
      </c>
      <c r="D11" s="5">
        <v>3</v>
      </c>
      <c r="E11" s="5">
        <v>55</v>
      </c>
      <c r="F11" s="6">
        <v>165</v>
      </c>
    </row>
    <row r="12" spans="1:6" x14ac:dyDescent="0.35">
      <c r="A12" s="3" t="s">
        <v>21</v>
      </c>
      <c r="B12" s="3" t="s">
        <v>26</v>
      </c>
      <c r="C12" s="4" t="s">
        <v>27</v>
      </c>
      <c r="D12" s="5">
        <v>12</v>
      </c>
      <c r="E12" s="5">
        <v>168</v>
      </c>
      <c r="F12" s="6">
        <f t="shared" si="0"/>
        <v>2016</v>
      </c>
    </row>
    <row r="13" spans="1:6" x14ac:dyDescent="0.35">
      <c r="A13" s="1" t="s">
        <v>21</v>
      </c>
      <c r="B13" s="1" t="s">
        <v>28</v>
      </c>
      <c r="C13" s="7" t="s">
        <v>27</v>
      </c>
      <c r="D13" s="5">
        <v>12</v>
      </c>
      <c r="E13" s="5">
        <v>168</v>
      </c>
      <c r="F13" s="6">
        <f t="shared" si="0"/>
        <v>2016</v>
      </c>
    </row>
    <row r="14" spans="1:6" x14ac:dyDescent="0.35">
      <c r="A14" s="3" t="s">
        <v>21</v>
      </c>
      <c r="B14" s="3" t="s">
        <v>29</v>
      </c>
      <c r="C14" s="4" t="s">
        <v>27</v>
      </c>
      <c r="D14" s="5">
        <v>12</v>
      </c>
      <c r="E14" s="5">
        <v>168</v>
      </c>
      <c r="F14" s="6">
        <f t="shared" si="0"/>
        <v>2016</v>
      </c>
    </row>
    <row r="15" spans="1:6" x14ac:dyDescent="0.35">
      <c r="A15" s="12" t="s">
        <v>30</v>
      </c>
      <c r="B15" s="12" t="s">
        <v>46</v>
      </c>
      <c r="C15" s="4" t="s">
        <v>31</v>
      </c>
      <c r="D15" s="5">
        <v>12</v>
      </c>
      <c r="E15" s="5">
        <f>1560/12</f>
        <v>130</v>
      </c>
      <c r="F15" s="6">
        <f t="shared" si="0"/>
        <v>1560</v>
      </c>
    </row>
    <row r="16" spans="1:6" x14ac:dyDescent="0.35">
      <c r="A16" s="12" t="s">
        <v>30</v>
      </c>
      <c r="B16" s="12" t="s">
        <v>44</v>
      </c>
      <c r="C16" s="4" t="s">
        <v>31</v>
      </c>
      <c r="D16" s="5">
        <v>12</v>
      </c>
      <c r="E16" s="5">
        <f>1560/12</f>
        <v>130</v>
      </c>
      <c r="F16" s="6">
        <f t="shared" ref="F16" si="1">D16*E16</f>
        <v>1560</v>
      </c>
    </row>
    <row r="17" spans="1:6" x14ac:dyDescent="0.35">
      <c r="A17" s="12" t="s">
        <v>30</v>
      </c>
      <c r="B17" s="12" t="s">
        <v>45</v>
      </c>
      <c r="C17" s="4" t="s">
        <v>31</v>
      </c>
      <c r="D17" s="5">
        <v>12</v>
      </c>
      <c r="E17" s="5">
        <f>1560/12</f>
        <v>130</v>
      </c>
      <c r="F17" s="6">
        <f t="shared" ref="F17" si="2">D17*E17</f>
        <v>1560</v>
      </c>
    </row>
    <row r="18" spans="1:6" x14ac:dyDescent="0.35">
      <c r="A18" s="12" t="s">
        <v>47</v>
      </c>
      <c r="B18" s="12" t="s">
        <v>32</v>
      </c>
      <c r="C18" s="4" t="s">
        <v>33</v>
      </c>
      <c r="D18" s="5">
        <v>10</v>
      </c>
      <c r="E18" s="5">
        <f>500/D18</f>
        <v>50</v>
      </c>
      <c r="F18" s="6">
        <f t="shared" si="0"/>
        <v>500</v>
      </c>
    </row>
    <row r="19" spans="1:6" x14ac:dyDescent="0.35">
      <c r="A19" s="1" t="s">
        <v>34</v>
      </c>
      <c r="B19" s="1" t="s">
        <v>35</v>
      </c>
      <c r="C19" s="7" t="s">
        <v>36</v>
      </c>
      <c r="D19" s="5">
        <v>10</v>
      </c>
      <c r="E19" s="5">
        <v>77</v>
      </c>
      <c r="F19" s="6">
        <f>D19*E19</f>
        <v>770</v>
      </c>
    </row>
    <row r="20" spans="1:6" x14ac:dyDescent="0.35">
      <c r="A20" s="3" t="s">
        <v>37</v>
      </c>
      <c r="B20" s="3" t="s">
        <v>38</v>
      </c>
      <c r="C20" s="4" t="s">
        <v>39</v>
      </c>
      <c r="D20" s="5">
        <v>20</v>
      </c>
      <c r="E20" s="5">
        <v>152</v>
      </c>
      <c r="F20" s="6">
        <f>D20*E20</f>
        <v>3040</v>
      </c>
    </row>
    <row r="21" spans="1:6" x14ac:dyDescent="0.35">
      <c r="A21" s="1" t="s">
        <v>37</v>
      </c>
      <c r="B21" s="1" t="s">
        <v>40</v>
      </c>
      <c r="C21" s="7" t="s">
        <v>39</v>
      </c>
      <c r="D21" s="5">
        <v>20</v>
      </c>
      <c r="E21" s="5">
        <v>152</v>
      </c>
      <c r="F21" s="6">
        <f>D21*E21</f>
        <v>3040</v>
      </c>
    </row>
    <row r="22" spans="1:6" x14ac:dyDescent="0.35">
      <c r="A22" s="3" t="s">
        <v>37</v>
      </c>
      <c r="B22" s="3" t="s">
        <v>41</v>
      </c>
      <c r="C22" s="4" t="s">
        <v>39</v>
      </c>
      <c r="D22" s="5">
        <v>20</v>
      </c>
      <c r="E22" s="5">
        <v>152</v>
      </c>
      <c r="F22" s="6">
        <f>D22*E22</f>
        <v>3040</v>
      </c>
    </row>
    <row r="23" spans="1:6" x14ac:dyDescent="0.35">
      <c r="A23" s="1" t="s">
        <v>37</v>
      </c>
      <c r="B23" s="1" t="s">
        <v>42</v>
      </c>
      <c r="C23" s="7" t="s">
        <v>43</v>
      </c>
      <c r="D23" s="5">
        <v>10</v>
      </c>
      <c r="E23" s="5">
        <v>110</v>
      </c>
      <c r="F23" s="6">
        <f>D23*E23</f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Dionis</dc:creator>
  <cp:lastModifiedBy>Lorenzo Dionis</cp:lastModifiedBy>
  <dcterms:created xsi:type="dcterms:W3CDTF">2026-07-06T11:02:35Z</dcterms:created>
  <dcterms:modified xsi:type="dcterms:W3CDTF">2026-07-06T11:04:59Z</dcterms:modified>
</cp:coreProperties>
</file>